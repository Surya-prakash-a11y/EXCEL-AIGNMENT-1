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xcel work book\EXCEL ASSIGNMENT -1\"/>
    </mc:Choice>
  </mc:AlternateContent>
  <xr:revisionPtr revIDLastSave="0" documentId="13_ncr:1_{5646D984-9BA0-443C-A29A-FB4274DA64D7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L9" i="1" l="1"/>
  <c r="J2" i="1"/>
  <c r="I2" i="1"/>
  <c r="H2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L17" i="1"/>
  <c r="L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13" i="1"/>
  <c r="L11" i="1"/>
  <c r="L7" i="1"/>
  <c r="L5" i="1"/>
</calcChain>
</file>

<file path=xl/sharedStrings.xml><?xml version="1.0" encoding="utf-8"?>
<sst xmlns="http://schemas.openxmlformats.org/spreadsheetml/2006/main" count="155" uniqueCount="106">
  <si>
    <t>Product ID</t>
  </si>
  <si>
    <t>Product Name</t>
  </si>
  <si>
    <t>Brand Name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</si>
  <si>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</si>
  <si>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</si>
  <si>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</si>
  <si>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</si>
  <si>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</si>
  <si>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</si>
  <si>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</si>
  <si>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</si>
  <si>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</si>
  <si>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</si>
  <si>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</si>
  <si>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</si>
  <si>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</si>
  <si>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</si>
  <si>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</si>
  <si>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</si>
  <si>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</si>
  <si>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</si>
  <si>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</si>
  <si>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</si>
  <si>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</si>
  <si>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</si>
  <si>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</si>
  <si>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</si>
  <si>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</si>
  <si>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</si>
  <si>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</si>
  <si>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</si>
  <si>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</si>
  <si>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</si>
  <si>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</si>
  <si>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</si>
  <si>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</si>
  <si>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</si>
  <si>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</si>
  <si>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</si>
  <si>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</si>
  <si>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</si>
  <si>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</si>
  <si>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</si>
  <si>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</si>
  <si>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</si>
  <si>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</si>
  <si>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</si>
  <si>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</si>
  <si>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</si>
  <si>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</si>
  <si>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</si>
  <si>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</si>
  <si>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</si>
  <si>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</si>
  <si>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</si>
  <si>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</si>
  <si>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</si>
  <si>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</si>
  <si>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</si>
  <si>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</si>
  <si>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</si>
  <si>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</si>
  <si>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</si>
  <si>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</si>
  <si>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</si>
  <si>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</si>
  <si>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</si>
  <si>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</si>
  <si>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</si>
  <si>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</si>
  <si>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</si>
  <si>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</si>
  <si>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</si>
  <si>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</si>
  <si>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</si>
  <si>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</si>
  <si>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</si>
  <si>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</si>
  <si>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</si>
  <si>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</si>
  <si>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</si>
  <si>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</si>
  <si>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</si>
  <si>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</si>
  <si>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</si>
  <si>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</si>
  <si>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</si>
  <si>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</si>
  <si>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</si>
  <si>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</si>
  <si>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</si>
  <si>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</si>
  <si>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</si>
  <si>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Column2</t>
  </si>
  <si>
    <t>TOTALPRICES</t>
  </si>
  <si>
    <t>TOTAL PRODUCT</t>
  </si>
  <si>
    <t>MINIMUM OF ALL PRODUCT</t>
  </si>
  <si>
    <t>MAXIMUM OF ALL PRODUCT</t>
  </si>
  <si>
    <t>Price Range</t>
  </si>
  <si>
    <t>Price</t>
  </si>
  <si>
    <t>ELECTRONICS TOTAL PRICE</t>
  </si>
  <si>
    <t>PRODUCT PRICE LESS THN 100</t>
  </si>
  <si>
    <t>DAY</t>
  </si>
  <si>
    <t>COUNTRY CODE</t>
  </si>
  <si>
    <t>MONTH</t>
  </si>
  <si>
    <t>PRODUCT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</si>
</sst>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0" borderId="0" xfId="0" applyAlignment="1"/>
    <xf numFmtId="0" fontId="5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28"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rgb="FF00206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70C0"/>
        </patternFill>
      </fill>
    </dxf>
    <dxf>
      <fill>
        <patternFill>
          <bgColor theme="4"/>
        </patternFill>
      </fill>
    </dxf>
    <dxf>
      <font>
        <color theme="4" tint="-0.24994659260841701"/>
      </font>
      <fill>
        <patternFill>
          <bgColor theme="9"/>
        </patternFill>
      </fill>
    </dxf>
    <dxf>
      <font>
        <color rgb="FFFF0000"/>
      </font>
    </dxf>
    <dxf>
      <font>
        <color theme="1"/>
      </font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C3634A-4AC2-4C2D-B0D1-2753DA2697E3}" name="PRODUCT_DB" displayName="PRODUCT_DB" ref="A1:J35" totalsRowShown="0" headerRowDxfId="6" dataDxfId="5" headerRowBorderDxfId="27" tableBorderDxfId="26" totalsRowBorderDxfId="25">
  <autoFilter ref="A1:J35" xr:uid="{FBC3634A-4AC2-4C2D-B0D1-2753DA2697E3}"/>
  <tableColumns count="10">
    <tableColumn id="1" xr3:uid="{4742EA47-BBC0-4611-95EA-3C84270042E5}" name="Product ID" dataDxfId="16"/>
    <tableColumn id="2" xr3:uid="{C6E6B651-AE84-4FB4-A4B1-DE841265EDE1}" name="Product Name" dataDxfId="15"/>
    <tableColumn id="3" xr3:uid="{A1406402-38F8-4198-9EA6-A5A5CEC3C332}" name="Brand Name" dataDxfId="14"/>
    <tableColumn id="4" xr3:uid="{7DE79421-2194-409F-A316-515B9D992896}" name="Price" dataDxfId="13"/>
    <tableColumn id="5" xr3:uid="{B292E4C3-9487-409C-B273-491598FFB00E}" name="Quantity" dataDxfId="12"/>
    <tableColumn id="6" xr3:uid="{F91B3C1E-A37C-4AD7-8F76-5602226A7E50}" name="Category" dataDxfId="11"/>
    <tableColumn id="7" xr3:uid="{889B3AE7-0F13-4C5E-8E4E-DD2D4BC97185}" name="Price Range" dataDxfId="10">
      <calculatedColumnFormula>IF(PRODUCT_DB[[#This Row],[Price]]&gt;=500,"High Price","Standard Price")</calculatedColumnFormula>
    </tableColumn>
    <tableColumn id="8" xr3:uid="{A83D8DA8-0321-48BD-9537-A5382C0982A2}" name="DAY" dataDxfId="9">
      <calculatedColumnFormula>LEFT(PRODUCT_DB[[#This Row],[Product ID]],2)</calculatedColumnFormula>
    </tableColumn>
    <tableColumn id="9" xr3:uid="{C0575448-F2E2-4029-BCF2-59A1187BD1B0}" name="COUNTRY CODE" dataDxfId="8">
      <calculatedColumnFormula>RIGHT(PRODUCT_DB[[#This Row],[Product ID]],2)</calculatedColumnFormula>
    </tableColumn>
    <tableColumn id="10" xr3:uid="{8C462ACE-A283-49D3-8E89-68A43F6224C1}" name="MONTH" dataDxfId="7">
      <calculatedColumnFormula>MID(PRODUCT_DB[[#This Row],[Product ID]],4,3)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4556F5-4D50-44F9-A43B-F16B459AE797}" name="Table3" displayName="Table3" ref="K1:L17" totalsRowShown="0" headerRowDxfId="3" dataDxfId="2" headerRowBorderDxfId="24" tableBorderDxfId="23" totalsRowBorderDxfId="22">
  <autoFilter ref="K1:L17" xr:uid="{444556F5-4D50-44F9-A43B-F16B459AE797}"/>
  <tableColumns count="2">
    <tableColumn id="1" xr3:uid="{C84C1BEC-EFF4-47F4-8FA8-02620CD91F68}" name="Column1" dataDxfId="4"/>
    <tableColumn id="2" xr3:uid="{9DD58E65-28A5-438E-81EC-1B1EDDD5D1E0}" name="Column2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outlinePr summaryBelow="0" summaryRight="0"/>
  </sheetPr>
  <dimension ref="A1:L1000"/>
  <sheetViews>
    <sheetView tabSelected="1" topLeftCell="C1" workbookViewId="0">
      <selection activeCell="K6" sqref="K6"/>
    </sheetView>
  </sheetViews>
  <sheetFormatPr defaultColWidth="12.5703125" defaultRowHeight="15" customHeight="1" x14ac:dyDescent="0.2"/>
  <cols>
    <col min="1" max="1" width="12.5703125" style="4"/>
    <col min="2" max="2" width="16" style="4" customWidth="1"/>
    <col min="3" max="3" width="14.42578125" style="4" customWidth="1"/>
    <col min="4" max="6" width="12.5703125" style="4"/>
    <col min="7" max="7" width="16.7109375" style="4" bestFit="1" customWidth="1"/>
    <col min="8" max="8" width="12.5703125" style="4"/>
    <col min="9" max="10" width="20.28515625" style="4" bestFit="1" customWidth="1"/>
    <col min="11" max="11" width="29.85546875" style="20" bestFit="1" customWidth="1"/>
    <col min="12" max="12" width="12.7109375" style="24" customWidth="1"/>
    <col min="13" max="16384" width="12.5703125" style="4"/>
  </cols>
  <sheetData>
    <row r="1" spans="1:12" ht="15.75" customHeight="1" x14ac:dyDescent="0.2">
      <c r="A1" s="5" t="s">
        <v>0</v>
      </c>
      <c r="B1" s="1" t="s">
        <v>1</v>
      </c>
      <c r="C1" s="1" t="s">
        <v>2</v>
      </c>
      <c r="D1" s="1" t="s">
        <v>99</v>
      </c>
      <c r="E1" s="1" t="s">
        <v>3</v>
      </c>
      <c r="F1" s="1" t="s">
        <v>4</v>
      </c>
      <c r="G1" s="2" t="s">
        <v>98</v>
      </c>
      <c r="H1" s="3" t="s">
        <v>102</v>
      </c>
      <c r="I1" s="3" t="s">
        <v>103</v>
      </c>
      <c r="J1" s="2" t="s">
        <v>104</v>
      </c>
      <c r="K1" s="16" t="s">
        <v>92</v>
      </c>
      <c r="L1" s="21" t="s">
        <v>93</v>
      </c>
    </row>
    <row r="2" spans="1:12" ht="15.75" customHeight="1" x14ac:dyDescent="0.2">
      <c r="A2" s="6" t="s">
        <v>5</v>
      </c>
      <c r="B2" s="7" t="s">
        <v>6</v>
      </c>
      <c r="C2" s="7" t="s">
        <v>7</v>
      </c>
      <c r="D2" s="7">
        <v>1000</v>
      </c>
      <c r="E2" s="7">
        <v>30</v>
      </c>
      <c r="F2" s="7" t="s">
        <v>8</v>
      </c>
      <c r="G2" s="8" t="str">
        <f>IF(PRODUCT_DB[[#This Row],[Price]]&gt;=500,"High Price","Standard Price")</f>
        <v>High Price</v>
      </c>
      <c r="H2" s="9" t="str">
        <f>LEFT(PRODUCT_DB[[#This Row],[Product ID]],2)</f>
        <v>28</v>
      </c>
      <c r="I2" s="9" t="str">
        <f>RIGHT(PRODUCT_DB[[#This Row],[Product ID]],2)</f>
        <v>US</v>
      </c>
      <c r="J2" s="10" t="str">
        <f>MID(PRODUCT_DB[[#This Row],[Product ID]],4,3)</f>
        <v>JAN</v>
      </c>
      <c r="K2" s="17"/>
      <c r="L2" s="22"/>
    </row>
    <row r="3" spans="1:12" ht="15.75" customHeight="1" x14ac:dyDescent="0.2">
      <c r="A3" s="11" t="s">
        <v>9</v>
      </c>
      <c r="B3" s="12" t="s">
        <v>10</v>
      </c>
      <c r="C3" s="12" t="s">
        <v>11</v>
      </c>
      <c r="D3" s="12">
        <v>80</v>
      </c>
      <c r="E3" s="12">
        <v>15</v>
      </c>
      <c r="F3" s="12" t="s">
        <v>12</v>
      </c>
      <c r="G3" s="8" t="str">
        <f>IF(PRODUCT_DB[[#This Row],[Price]]&gt;=500,"High Price","Standard Price")</f>
        <v>Standard Price</v>
      </c>
      <c r="H3" s="12" t="str">
        <f>LEFT(PRODUCT_DB[[#This Row],[Product ID]],2)</f>
        <v>15</v>
      </c>
      <c r="I3" s="12" t="str">
        <f>RIGHT(PRODUCT_DB[[#This Row],[Product ID]],2)</f>
        <v>US</v>
      </c>
      <c r="J3" s="8" t="str">
        <f>MID(PRODUCT_DB[[#This Row],[Product ID]],4,3)</f>
        <v>FEB</v>
      </c>
      <c r="K3" s="17"/>
      <c r="L3" s="22"/>
    </row>
    <row r="4" spans="1:12" ht="15.75" customHeight="1" x14ac:dyDescent="0.2">
      <c r="A4" s="6" t="s">
        <v>13</v>
      </c>
      <c r="B4" s="7" t="s">
        <v>14</v>
      </c>
      <c r="C4" s="7" t="s">
        <v>15</v>
      </c>
      <c r="D4" s="7">
        <v>130</v>
      </c>
      <c r="E4" s="7">
        <v>40</v>
      </c>
      <c r="F4" s="7" t="s">
        <v>16</v>
      </c>
      <c r="G4" s="8" t="str">
        <f>IF(PRODUCT_DB[[#This Row],[Price]]&gt;=500,"High Price","Standard Price")</f>
        <v>Standard Price</v>
      </c>
      <c r="H4" s="12" t="str">
        <f>LEFT(PRODUCT_DB[[#This Row],[Product ID]],2)</f>
        <v>03</v>
      </c>
      <c r="I4" s="12" t="str">
        <f>RIGHT(PRODUCT_DB[[#This Row],[Product ID]],2)</f>
        <v>US</v>
      </c>
      <c r="J4" s="8" t="str">
        <f>MID(PRODUCT_DB[[#This Row],[Product ID]],4,3)</f>
        <v>MAR</v>
      </c>
      <c r="K4" s="17"/>
      <c r="L4" s="22"/>
    </row>
    <row r="5" spans="1:12" ht="15.75" customHeight="1" x14ac:dyDescent="0.2">
      <c r="A5" s="11" t="s">
        <v>17</v>
      </c>
      <c r="B5" s="12" t="s">
        <v>18</v>
      </c>
      <c r="C5" s="12" t="s">
        <v>19</v>
      </c>
      <c r="D5" s="12">
        <v>900</v>
      </c>
      <c r="E5" s="12">
        <v>25</v>
      </c>
      <c r="F5" s="12" t="s">
        <v>8</v>
      </c>
      <c r="G5" s="8" t="str">
        <f>IF(PRODUCT_DB[[#This Row],[Price]]&gt;=500,"High Price","Standard Price")</f>
        <v>High Price</v>
      </c>
      <c r="H5" s="12" t="str">
        <f>LEFT(PRODUCT_DB[[#This Row],[Product ID]],2)</f>
        <v>11</v>
      </c>
      <c r="I5" s="12" t="str">
        <f>RIGHT(PRODUCT_DB[[#This Row],[Product ID]],2)</f>
        <v>US</v>
      </c>
      <c r="J5" s="8" t="str">
        <f>MID(PRODUCT_DB[[#This Row],[Product ID]],4,3)</f>
        <v>APR</v>
      </c>
      <c r="K5" s="18" t="s">
        <v>94</v>
      </c>
      <c r="L5" s="22">
        <f>SUM(PRODUCT_DB[Price])</f>
        <v>10100</v>
      </c>
    </row>
    <row r="6" spans="1:12" ht="15.75" customHeight="1" x14ac:dyDescent="0.2">
      <c r="A6" s="6" t="s">
        <v>20</v>
      </c>
      <c r="B6" s="7" t="s">
        <v>21</v>
      </c>
      <c r="C6" s="7" t="s">
        <v>22</v>
      </c>
      <c r="D6" s="7">
        <v>70</v>
      </c>
      <c r="E6" s="7">
        <v>20</v>
      </c>
      <c r="F6" s="7" t="s">
        <v>23</v>
      </c>
      <c r="G6" s="8" t="str">
        <f>IF(PRODUCT_DB[[#This Row],[Price]]&gt;=500,"High Price","Standard Price")</f>
        <v>Standard Price</v>
      </c>
      <c r="H6" s="12" t="str">
        <f>LEFT(PRODUCT_DB[[#This Row],[Product ID]],2)</f>
        <v>22</v>
      </c>
      <c r="I6" s="12" t="str">
        <f>RIGHT(PRODUCT_DB[[#This Row],[Product ID]],2)</f>
        <v>US</v>
      </c>
      <c r="J6" s="8" t="str">
        <f>MID(PRODUCT_DB[[#This Row],[Product ID]],4,3)</f>
        <v>MAY</v>
      </c>
      <c r="K6" s="17"/>
      <c r="L6" s="22"/>
    </row>
    <row r="7" spans="1:12" ht="15.75" customHeight="1" x14ac:dyDescent="0.2">
      <c r="A7" s="11" t="s">
        <v>24</v>
      </c>
      <c r="B7" s="12" t="s">
        <v>25</v>
      </c>
      <c r="C7" s="12" t="s">
        <v>26</v>
      </c>
      <c r="D7" s="12">
        <v>200</v>
      </c>
      <c r="E7" s="12">
        <v>45</v>
      </c>
      <c r="F7" s="12" t="s">
        <v>8</v>
      </c>
      <c r="G7" s="8" t="str">
        <f>IF(PRODUCT_DB[[#This Row],[Price]]&gt;=500,"High Price","Standard Price")</f>
        <v>Standard Price</v>
      </c>
      <c r="H7" s="12" t="str">
        <f>LEFT(PRODUCT_DB[[#This Row],[Product ID]],2)</f>
        <v>07</v>
      </c>
      <c r="I7" s="12" t="str">
        <f>RIGHT(PRODUCT_DB[[#This Row],[Product ID]],2)</f>
        <v>UK</v>
      </c>
      <c r="J7" s="8" t="str">
        <f>MID(PRODUCT_DB[[#This Row],[Product ID]],4,3)</f>
        <v>JUN</v>
      </c>
      <c r="K7" s="17" t="s">
        <v>95</v>
      </c>
      <c r="L7" s="22">
        <f>COUNT(PRODUCT_DB[Price])</f>
        <v>34</v>
      </c>
    </row>
    <row r="8" spans="1:12" ht="15.75" customHeight="1" x14ac:dyDescent="0.2">
      <c r="A8" s="6" t="s">
        <v>27</v>
      </c>
      <c r="B8" s="7" t="s">
        <v>28</v>
      </c>
      <c r="C8" s="7" t="s">
        <v>29</v>
      </c>
      <c r="D8" s="7">
        <v>30</v>
      </c>
      <c r="E8" s="7">
        <v>5</v>
      </c>
      <c r="F8" s="7" t="s">
        <v>12</v>
      </c>
      <c r="G8" s="8" t="str">
        <f>IF(PRODUCT_DB[[#This Row],[Price]]&gt;=500,"High Price","Standard Price")</f>
        <v>Standard Price</v>
      </c>
      <c r="H8" s="12" t="str">
        <f>LEFT(PRODUCT_DB[[#This Row],[Product ID]],2)</f>
        <v>19</v>
      </c>
      <c r="I8" s="12" t="str">
        <f>RIGHT(PRODUCT_DB[[#This Row],[Product ID]],2)</f>
        <v>UK</v>
      </c>
      <c r="J8" s="8" t="str">
        <f>MID(PRODUCT_DB[[#This Row],[Product ID]],4,3)</f>
        <v>JUL</v>
      </c>
      <c r="K8" s="17"/>
      <c r="L8" s="22"/>
    </row>
    <row r="9" spans="1:12" ht="15.75" customHeight="1" x14ac:dyDescent="0.2">
      <c r="A9" s="11" t="s">
        <v>30</v>
      </c>
      <c r="B9" s="12" t="s">
        <v>31</v>
      </c>
      <c r="C9" s="12" t="s">
        <v>32</v>
      </c>
      <c r="D9" s="12">
        <v>90</v>
      </c>
      <c r="E9" s="12">
        <v>35</v>
      </c>
      <c r="F9" s="12" t="s">
        <v>16</v>
      </c>
      <c r="G9" s="8" t="str">
        <f>IF(PRODUCT_DB[[#This Row],[Price]]&gt;=500,"High Price","Standard Price")</f>
        <v>Standard Price</v>
      </c>
      <c r="H9" s="12" t="str">
        <f>LEFT(PRODUCT_DB[[#This Row],[Product ID]],2)</f>
        <v>23</v>
      </c>
      <c r="I9" s="12" t="str">
        <f>RIGHT(PRODUCT_DB[[#This Row],[Product ID]],2)</f>
        <v>UK</v>
      </c>
      <c r="J9" s="8" t="str">
        <f>MID(PRODUCT_DB[[#This Row],[Product ID]],4,3)</f>
        <v>AUG</v>
      </c>
      <c r="K9" s="18" t="s">
        <v>105</v>
      </c>
      <c r="L9" s="22">
        <f>AVERAGE(PRODUCT_DB[Price])</f>
        <v>297.05882352941177</v>
      </c>
    </row>
    <row r="10" spans="1:12" ht="15.75" customHeight="1" x14ac:dyDescent="0.2">
      <c r="A10" s="6" t="s">
        <v>33</v>
      </c>
      <c r="B10" s="7" t="s">
        <v>34</v>
      </c>
      <c r="C10" s="7" t="s">
        <v>35</v>
      </c>
      <c r="D10" s="7">
        <v>500</v>
      </c>
      <c r="E10" s="7">
        <v>50</v>
      </c>
      <c r="F10" s="7" t="s">
        <v>8</v>
      </c>
      <c r="G10" s="8" t="str">
        <f>IF(PRODUCT_DB[[#This Row],[Price]]&gt;=500,"High Price","Standard Price")</f>
        <v>High Price</v>
      </c>
      <c r="H10" s="12" t="str">
        <f>LEFT(PRODUCT_DB[[#This Row],[Product ID]],2)</f>
        <v>05</v>
      </c>
      <c r="I10" s="12" t="str">
        <f>RIGHT(PRODUCT_DB[[#This Row],[Product ID]],2)</f>
        <v>UK</v>
      </c>
      <c r="J10" s="8" t="str">
        <f>MID(PRODUCT_DB[[#This Row],[Product ID]],4,3)</f>
        <v>SEP</v>
      </c>
      <c r="K10" s="17"/>
      <c r="L10" s="22"/>
    </row>
    <row r="11" spans="1:12" ht="15.75" customHeight="1" x14ac:dyDescent="0.2">
      <c r="A11" s="11" t="s">
        <v>36</v>
      </c>
      <c r="B11" s="12" t="s">
        <v>37</v>
      </c>
      <c r="C11" s="12" t="s">
        <v>38</v>
      </c>
      <c r="D11" s="12">
        <v>130</v>
      </c>
      <c r="E11" s="12">
        <v>10</v>
      </c>
      <c r="F11" s="12" t="s">
        <v>23</v>
      </c>
      <c r="G11" s="8" t="str">
        <f>IF(PRODUCT_DB[[#This Row],[Price]]&gt;=500,"High Price","Standard Price")</f>
        <v>Standard Price</v>
      </c>
      <c r="H11" s="12" t="str">
        <f>LEFT(PRODUCT_DB[[#This Row],[Product ID]],2)</f>
        <v>14</v>
      </c>
      <c r="I11" s="12" t="str">
        <f>RIGHT(PRODUCT_DB[[#This Row],[Product ID]],2)</f>
        <v>UK</v>
      </c>
      <c r="J11" s="8" t="str">
        <f>MID(PRODUCT_DB[[#This Row],[Product ID]],4,3)</f>
        <v>OCT</v>
      </c>
      <c r="K11" s="18" t="s">
        <v>96</v>
      </c>
      <c r="L11" s="22">
        <f>MIN(PRODUCT_DB[Price])</f>
        <v>30</v>
      </c>
    </row>
    <row r="12" spans="1:12" ht="15.75" customHeight="1" x14ac:dyDescent="0.2">
      <c r="A12" s="6" t="s">
        <v>39</v>
      </c>
      <c r="B12" s="7" t="s">
        <v>6</v>
      </c>
      <c r="C12" s="7" t="s">
        <v>40</v>
      </c>
      <c r="D12" s="7">
        <v>950</v>
      </c>
      <c r="E12" s="7">
        <v>25</v>
      </c>
      <c r="F12" s="7" t="s">
        <v>8</v>
      </c>
      <c r="G12" s="8" t="str">
        <f>IF(PRODUCT_DB[[#This Row],[Price]]&gt;=500,"High Price","Standard Price")</f>
        <v>High Price</v>
      </c>
      <c r="H12" s="12" t="str">
        <f>LEFT(PRODUCT_DB[[#This Row],[Product ID]],2)</f>
        <v>17</v>
      </c>
      <c r="I12" s="12" t="str">
        <f>RIGHT(PRODUCT_DB[[#This Row],[Product ID]],2)</f>
        <v>IN</v>
      </c>
      <c r="J12" s="8" t="str">
        <f>MID(PRODUCT_DB[[#This Row],[Product ID]],4,3)</f>
        <v>JUN</v>
      </c>
      <c r="K12" s="17"/>
      <c r="L12" s="22"/>
    </row>
    <row r="13" spans="1:12" ht="15.75" customHeight="1" x14ac:dyDescent="0.2">
      <c r="A13" s="11" t="s">
        <v>41</v>
      </c>
      <c r="B13" s="12" t="s">
        <v>10</v>
      </c>
      <c r="C13" s="12" t="s">
        <v>29</v>
      </c>
      <c r="D13" s="12">
        <v>90</v>
      </c>
      <c r="E13" s="12">
        <v>40</v>
      </c>
      <c r="F13" s="12" t="s">
        <v>12</v>
      </c>
      <c r="G13" s="8" t="str">
        <f>IF(PRODUCT_DB[[#This Row],[Price]]&gt;=500,"High Price","Standard Price")</f>
        <v>Standard Price</v>
      </c>
      <c r="H13" s="12" t="str">
        <f>LEFT(PRODUCT_DB[[#This Row],[Product ID]],2)</f>
        <v>25</v>
      </c>
      <c r="I13" s="12" t="str">
        <f>RIGHT(PRODUCT_DB[[#This Row],[Product ID]],2)</f>
        <v>AU</v>
      </c>
      <c r="J13" s="8" t="str">
        <f>MID(PRODUCT_DB[[#This Row],[Product ID]],4,3)</f>
        <v>NOV</v>
      </c>
      <c r="K13" s="18" t="s">
        <v>97</v>
      </c>
      <c r="L13" s="22">
        <f>MAX(PRODUCT_DB[Price])</f>
        <v>1000</v>
      </c>
    </row>
    <row r="14" spans="1:12" ht="15.75" customHeight="1" x14ac:dyDescent="0.2">
      <c r="A14" s="6" t="s">
        <v>42</v>
      </c>
      <c r="B14" s="7" t="s">
        <v>14</v>
      </c>
      <c r="C14" s="7" t="s">
        <v>43</v>
      </c>
      <c r="D14" s="7">
        <v>120</v>
      </c>
      <c r="E14" s="7">
        <v>35</v>
      </c>
      <c r="F14" s="7" t="s">
        <v>16</v>
      </c>
      <c r="G14" s="8" t="str">
        <f>IF(PRODUCT_DB[[#This Row],[Price]]&gt;=500,"High Price","Standard Price")</f>
        <v>Standard Price</v>
      </c>
      <c r="H14" s="12" t="str">
        <f>LEFT(PRODUCT_DB[[#This Row],[Product ID]],2)</f>
        <v>08</v>
      </c>
      <c r="I14" s="12" t="str">
        <f>RIGHT(PRODUCT_DB[[#This Row],[Product ID]],2)</f>
        <v>DE</v>
      </c>
      <c r="J14" s="8" t="str">
        <f>MID(PRODUCT_DB[[#This Row],[Product ID]],4,3)</f>
        <v>DEC</v>
      </c>
      <c r="K14" s="17"/>
      <c r="L14" s="22"/>
    </row>
    <row r="15" spans="1:12" ht="15.75" customHeight="1" x14ac:dyDescent="0.2">
      <c r="A15" s="11" t="s">
        <v>44</v>
      </c>
      <c r="B15" s="12" t="s">
        <v>45</v>
      </c>
      <c r="C15" s="12" t="s">
        <v>46</v>
      </c>
      <c r="D15" s="12">
        <v>150</v>
      </c>
      <c r="E15" s="12">
        <v>15</v>
      </c>
      <c r="F15" s="12" t="s">
        <v>8</v>
      </c>
      <c r="G15" s="8" t="str">
        <f>IF(PRODUCT_DB[[#This Row],[Price]]&gt;=500,"High Price","Standard Price")</f>
        <v>Standard Price</v>
      </c>
      <c r="H15" s="12" t="str">
        <f>LEFT(PRODUCT_DB[[#This Row],[Product ID]],2)</f>
        <v>18</v>
      </c>
      <c r="I15" s="12" t="str">
        <f>RIGHT(PRODUCT_DB[[#This Row],[Product ID]],2)</f>
        <v>CA</v>
      </c>
      <c r="J15" s="8" t="str">
        <f>MID(PRODUCT_DB[[#This Row],[Product ID]],4,3)</f>
        <v>FEB</v>
      </c>
      <c r="K15" s="17" t="s">
        <v>100</v>
      </c>
      <c r="L15" s="22">
        <f>SUMIF(PRODUCT_DB[Category],F2,PRODUCT_DB[Price])</f>
        <v>8050</v>
      </c>
    </row>
    <row r="16" spans="1:12" ht="15.75" customHeight="1" x14ac:dyDescent="0.2">
      <c r="A16" s="6" t="s">
        <v>47</v>
      </c>
      <c r="B16" s="7" t="s">
        <v>25</v>
      </c>
      <c r="C16" s="7" t="s">
        <v>48</v>
      </c>
      <c r="D16" s="7">
        <v>250</v>
      </c>
      <c r="E16" s="7">
        <v>20</v>
      </c>
      <c r="F16" s="7" t="s">
        <v>8</v>
      </c>
      <c r="G16" s="8" t="str">
        <f>IF(PRODUCT_DB[[#This Row],[Price]]&gt;=500,"High Price","Standard Price")</f>
        <v>Standard Price</v>
      </c>
      <c r="H16" s="12" t="str">
        <f>LEFT(PRODUCT_DB[[#This Row],[Product ID]],2)</f>
        <v>16</v>
      </c>
      <c r="I16" s="12" t="str">
        <f>RIGHT(PRODUCT_DB[[#This Row],[Product ID]],2)</f>
        <v>ES</v>
      </c>
      <c r="J16" s="8" t="str">
        <f>MID(PRODUCT_DB[[#This Row],[Product ID]],4,3)</f>
        <v>APR</v>
      </c>
      <c r="K16" s="17"/>
      <c r="L16" s="22"/>
    </row>
    <row r="17" spans="1:12" ht="15.75" customHeight="1" x14ac:dyDescent="0.2">
      <c r="A17" s="11" t="s">
        <v>49</v>
      </c>
      <c r="B17" s="12" t="s">
        <v>50</v>
      </c>
      <c r="C17" s="12" t="s">
        <v>51</v>
      </c>
      <c r="D17" s="12">
        <v>50</v>
      </c>
      <c r="E17" s="12">
        <v>35</v>
      </c>
      <c r="F17" s="12" t="s">
        <v>52</v>
      </c>
      <c r="G17" s="8" t="str">
        <f>IF(PRODUCT_DB[[#This Row],[Price]]&gt;=500,"High Price","Standard Price")</f>
        <v>Standard Price</v>
      </c>
      <c r="H17" s="12" t="str">
        <f>LEFT(PRODUCT_DB[[#This Row],[Product ID]],2)</f>
        <v>21</v>
      </c>
      <c r="I17" s="12" t="str">
        <f>RIGHT(PRODUCT_DB[[#This Row],[Product ID]],2)</f>
        <v>CA</v>
      </c>
      <c r="J17" s="8" t="str">
        <f>MID(PRODUCT_DB[[#This Row],[Product ID]],4,3)</f>
        <v>AUG</v>
      </c>
      <c r="K17" s="19" t="s">
        <v>101</v>
      </c>
      <c r="L17" s="23">
        <f>COUNTIF(PRODUCT_DB[Price],"&lt;100")</f>
        <v>11</v>
      </c>
    </row>
    <row r="18" spans="1:12" ht="15.75" customHeight="1" x14ac:dyDescent="0.2">
      <c r="A18" s="6" t="s">
        <v>53</v>
      </c>
      <c r="B18" s="7" t="s">
        <v>45</v>
      </c>
      <c r="C18" s="7" t="s">
        <v>54</v>
      </c>
      <c r="D18" s="7">
        <v>160</v>
      </c>
      <c r="E18" s="7">
        <v>15</v>
      </c>
      <c r="F18" s="7" t="s">
        <v>8</v>
      </c>
      <c r="G18" s="8" t="str">
        <f>IF(PRODUCT_DB[[#This Row],[Price]]&gt;=500,"High Price","Standard Price")</f>
        <v>Standard Price</v>
      </c>
      <c r="H18" s="12" t="str">
        <f>LEFT(PRODUCT_DB[[#This Row],[Product ID]],2)</f>
        <v>20</v>
      </c>
      <c r="I18" s="12" t="str">
        <f>RIGHT(PRODUCT_DB[[#This Row],[Product ID]],2)</f>
        <v>CN</v>
      </c>
      <c r="J18" s="12" t="str">
        <f>MID(PRODUCT_DB[[#This Row],[Product ID]],4,3)</f>
        <v>AUG</v>
      </c>
    </row>
    <row r="19" spans="1:12" ht="15.75" customHeight="1" x14ac:dyDescent="0.2">
      <c r="A19" s="11" t="s">
        <v>55</v>
      </c>
      <c r="B19" s="12" t="s">
        <v>6</v>
      </c>
      <c r="C19" s="12" t="s">
        <v>56</v>
      </c>
      <c r="D19" s="12">
        <v>980</v>
      </c>
      <c r="E19" s="12">
        <v>10</v>
      </c>
      <c r="F19" s="12" t="s">
        <v>8</v>
      </c>
      <c r="G19" s="8" t="str">
        <f>IF(PRODUCT_DB[[#This Row],[Price]]&gt;=500,"High Price","Standard Price")</f>
        <v>High Price</v>
      </c>
      <c r="H19" s="12" t="str">
        <f>LEFT(PRODUCT_DB[[#This Row],[Product ID]],2)</f>
        <v>27</v>
      </c>
      <c r="I19" s="12" t="str">
        <f>RIGHT(PRODUCT_DB[[#This Row],[Product ID]],2)</f>
        <v>IT</v>
      </c>
      <c r="J19" s="12" t="str">
        <f>MID(PRODUCT_DB[[#This Row],[Product ID]],4,3)</f>
        <v>JAN</v>
      </c>
    </row>
    <row r="20" spans="1:12" ht="15.75" customHeight="1" x14ac:dyDescent="0.2">
      <c r="A20" s="6" t="s">
        <v>57</v>
      </c>
      <c r="B20" s="7" t="s">
        <v>58</v>
      </c>
      <c r="C20" s="7" t="s">
        <v>59</v>
      </c>
      <c r="D20" s="7">
        <v>150</v>
      </c>
      <c r="E20" s="7">
        <v>15</v>
      </c>
      <c r="F20" s="7" t="s">
        <v>12</v>
      </c>
      <c r="G20" s="8" t="str">
        <f>IF(PRODUCT_DB[[#This Row],[Price]]&gt;=500,"High Price","Standard Price")</f>
        <v>Standard Price</v>
      </c>
      <c r="H20" s="12" t="str">
        <f>LEFT(PRODUCT_DB[[#This Row],[Product ID]],2)</f>
        <v>01</v>
      </c>
      <c r="I20" s="12" t="str">
        <f>RIGHT(PRODUCT_DB[[#This Row],[Product ID]],2)</f>
        <v>UK</v>
      </c>
      <c r="J20" s="12" t="str">
        <f>MID(PRODUCT_DB[[#This Row],[Product ID]],4,3)</f>
        <v>MAR</v>
      </c>
    </row>
    <row r="21" spans="1:12" ht="15.75" customHeight="1" x14ac:dyDescent="0.2">
      <c r="A21" s="11" t="s">
        <v>60</v>
      </c>
      <c r="B21" s="12" t="s">
        <v>61</v>
      </c>
      <c r="C21" s="12" t="s">
        <v>62</v>
      </c>
      <c r="D21" s="12">
        <v>200</v>
      </c>
      <c r="E21" s="12">
        <v>10</v>
      </c>
      <c r="F21" s="12" t="s">
        <v>23</v>
      </c>
      <c r="G21" s="8" t="str">
        <f>IF(PRODUCT_DB[[#This Row],[Price]]&gt;=500,"High Price","Standard Price")</f>
        <v>Standard Price</v>
      </c>
      <c r="H21" s="12" t="str">
        <f>LEFT(PRODUCT_DB[[#This Row],[Product ID]],2)</f>
        <v>14</v>
      </c>
      <c r="I21" s="12" t="str">
        <f>RIGHT(PRODUCT_DB[[#This Row],[Product ID]],2)</f>
        <v>US</v>
      </c>
      <c r="J21" s="12" t="str">
        <f>MID(PRODUCT_DB[[#This Row],[Product ID]],4,3)</f>
        <v>AUG</v>
      </c>
    </row>
    <row r="22" spans="1:12" ht="15.75" customHeight="1" x14ac:dyDescent="0.2">
      <c r="A22" s="6" t="s">
        <v>63</v>
      </c>
      <c r="B22" s="7" t="s">
        <v>64</v>
      </c>
      <c r="C22" s="7" t="s">
        <v>65</v>
      </c>
      <c r="D22" s="7">
        <v>700</v>
      </c>
      <c r="E22" s="7">
        <v>50</v>
      </c>
      <c r="F22" s="7" t="s">
        <v>8</v>
      </c>
      <c r="G22" s="8" t="str">
        <f>IF(PRODUCT_DB[[#This Row],[Price]]&gt;=500,"High Price","Standard Price")</f>
        <v>High Price</v>
      </c>
      <c r="H22" s="12" t="str">
        <f>LEFT(PRODUCT_DB[[#This Row],[Product ID]],2)</f>
        <v>14</v>
      </c>
      <c r="I22" s="12" t="str">
        <f>RIGHT(PRODUCT_DB[[#This Row],[Product ID]],2)</f>
        <v>RU</v>
      </c>
      <c r="J22" s="12" t="str">
        <f>MID(PRODUCT_DB[[#This Row],[Product ID]],4,3)</f>
        <v>MAY</v>
      </c>
    </row>
    <row r="23" spans="1:12" ht="15.75" customHeight="1" x14ac:dyDescent="0.2">
      <c r="A23" s="11" t="s">
        <v>66</v>
      </c>
      <c r="B23" s="12" t="s">
        <v>67</v>
      </c>
      <c r="C23" s="12" t="s">
        <v>68</v>
      </c>
      <c r="D23" s="12">
        <v>80</v>
      </c>
      <c r="E23" s="12">
        <v>20</v>
      </c>
      <c r="F23" s="12" t="s">
        <v>16</v>
      </c>
      <c r="G23" s="8" t="str">
        <f>IF(PRODUCT_DB[[#This Row],[Price]]&gt;=500,"High Price","Standard Price")</f>
        <v>Standard Price</v>
      </c>
      <c r="H23" s="12" t="str">
        <f>LEFT(PRODUCT_DB[[#This Row],[Product ID]],2)</f>
        <v>09</v>
      </c>
      <c r="I23" s="12" t="str">
        <f>RIGHT(PRODUCT_DB[[#This Row],[Product ID]],2)</f>
        <v>CA</v>
      </c>
      <c r="J23" s="12" t="str">
        <f>MID(PRODUCT_DB[[#This Row],[Product ID]],4,3)</f>
        <v>JAN</v>
      </c>
    </row>
    <row r="24" spans="1:12" ht="15.75" customHeight="1" x14ac:dyDescent="0.2">
      <c r="A24" s="6" t="s">
        <v>69</v>
      </c>
      <c r="B24" s="7" t="s">
        <v>70</v>
      </c>
      <c r="C24" s="7" t="s">
        <v>71</v>
      </c>
      <c r="D24" s="7">
        <v>150</v>
      </c>
      <c r="E24" s="7">
        <v>30</v>
      </c>
      <c r="F24" s="7" t="s">
        <v>8</v>
      </c>
      <c r="G24" s="8" t="str">
        <f>IF(PRODUCT_DB[[#This Row],[Price]]&gt;=500,"High Price","Standard Price")</f>
        <v>Standard Price</v>
      </c>
      <c r="H24" s="12" t="str">
        <f>LEFT(PRODUCT_DB[[#This Row],[Product ID]],2)</f>
        <v>19</v>
      </c>
      <c r="I24" s="12" t="str">
        <f>RIGHT(PRODUCT_DB[[#This Row],[Product ID]],2)</f>
        <v>BR</v>
      </c>
      <c r="J24" s="12" t="str">
        <f>MID(PRODUCT_DB[[#This Row],[Product ID]],4,3)</f>
        <v>JUL</v>
      </c>
    </row>
    <row r="25" spans="1:12" ht="15.75" customHeight="1" x14ac:dyDescent="0.2">
      <c r="A25" s="11" t="s">
        <v>49</v>
      </c>
      <c r="B25" s="12" t="s">
        <v>50</v>
      </c>
      <c r="C25" s="12" t="s">
        <v>51</v>
      </c>
      <c r="D25" s="12">
        <v>50</v>
      </c>
      <c r="E25" s="12">
        <v>35</v>
      </c>
      <c r="F25" s="12" t="s">
        <v>52</v>
      </c>
      <c r="G25" s="8" t="str">
        <f>IF(PRODUCT_DB[[#This Row],[Price]]&gt;=500,"High Price","Standard Price")</f>
        <v>Standard Price</v>
      </c>
      <c r="H25" s="12" t="str">
        <f>LEFT(PRODUCT_DB[[#This Row],[Product ID]],2)</f>
        <v>21</v>
      </c>
      <c r="I25" s="12" t="str">
        <f>RIGHT(PRODUCT_DB[[#This Row],[Product ID]],2)</f>
        <v>CA</v>
      </c>
      <c r="J25" s="12" t="str">
        <f>MID(PRODUCT_DB[[#This Row],[Product ID]],4,3)</f>
        <v>AUG</v>
      </c>
    </row>
    <row r="26" spans="1:12" ht="15.75" customHeight="1" x14ac:dyDescent="0.2">
      <c r="A26" s="6" t="s">
        <v>72</v>
      </c>
      <c r="B26" s="7" t="s">
        <v>18</v>
      </c>
      <c r="C26" s="7" t="s">
        <v>73</v>
      </c>
      <c r="D26" s="7">
        <v>800</v>
      </c>
      <c r="E26" s="7">
        <v>45</v>
      </c>
      <c r="F26" s="7" t="s">
        <v>8</v>
      </c>
      <c r="G26" s="8" t="str">
        <f>IF(PRODUCT_DB[[#This Row],[Price]]&gt;=500,"High Price","Standard Price")</f>
        <v>High Price</v>
      </c>
      <c r="H26" s="12" t="str">
        <f>LEFT(PRODUCT_DB[[#This Row],[Product ID]],2)</f>
        <v>29</v>
      </c>
      <c r="I26" s="12" t="str">
        <f>RIGHT(PRODUCT_DB[[#This Row],[Product ID]],2)</f>
        <v>CA</v>
      </c>
      <c r="J26" s="12" t="str">
        <f>MID(PRODUCT_DB[[#This Row],[Product ID]],4,3)</f>
        <v>SEP</v>
      </c>
    </row>
    <row r="27" spans="1:12" ht="15.75" customHeight="1" x14ac:dyDescent="0.2">
      <c r="A27" s="11" t="s">
        <v>74</v>
      </c>
      <c r="B27" s="12" t="s">
        <v>58</v>
      </c>
      <c r="C27" s="12" t="s">
        <v>75</v>
      </c>
      <c r="D27" s="12">
        <v>130</v>
      </c>
      <c r="E27" s="12">
        <v>25</v>
      </c>
      <c r="F27" s="12" t="s">
        <v>12</v>
      </c>
      <c r="G27" s="8" t="str">
        <f>IF(PRODUCT_DB[[#This Row],[Price]]&gt;=500,"High Price","Standard Price")</f>
        <v>Standard Price</v>
      </c>
      <c r="H27" s="12" t="str">
        <f>LEFT(PRODUCT_DB[[#This Row],[Product ID]],2)</f>
        <v>03</v>
      </c>
      <c r="I27" s="12" t="str">
        <f>RIGHT(PRODUCT_DB[[#This Row],[Product ID]],2)</f>
        <v>CA</v>
      </c>
      <c r="J27" s="12" t="str">
        <f>MID(PRODUCT_DB[[#This Row],[Product ID]],4,3)</f>
        <v>JUN</v>
      </c>
    </row>
    <row r="28" spans="1:12" ht="15.75" customHeight="1" x14ac:dyDescent="0.2">
      <c r="A28" s="6" t="s">
        <v>76</v>
      </c>
      <c r="B28" s="7" t="s">
        <v>31</v>
      </c>
      <c r="C28" s="7" t="s">
        <v>77</v>
      </c>
      <c r="D28" s="7">
        <v>400</v>
      </c>
      <c r="E28" s="7">
        <v>40</v>
      </c>
      <c r="F28" s="7" t="s">
        <v>16</v>
      </c>
      <c r="G28" s="8" t="str">
        <f>IF(PRODUCT_DB[[#This Row],[Price]]&gt;=500,"High Price","Standard Price")</f>
        <v>Standard Price</v>
      </c>
      <c r="H28" s="12" t="str">
        <f>LEFT(PRODUCT_DB[[#This Row],[Product ID]],2)</f>
        <v>11</v>
      </c>
      <c r="I28" s="12" t="str">
        <f>RIGHT(PRODUCT_DB[[#This Row],[Product ID]],2)</f>
        <v>CA</v>
      </c>
      <c r="J28" s="12" t="str">
        <f>MID(PRODUCT_DB[[#This Row],[Product ID]],4,3)</f>
        <v>JUL</v>
      </c>
    </row>
    <row r="29" spans="1:12" ht="15.75" customHeight="1" x14ac:dyDescent="0.2">
      <c r="A29" s="11" t="s">
        <v>47</v>
      </c>
      <c r="B29" s="12" t="s">
        <v>25</v>
      </c>
      <c r="C29" s="12" t="s">
        <v>48</v>
      </c>
      <c r="D29" s="12">
        <v>230</v>
      </c>
      <c r="E29" s="12">
        <v>20</v>
      </c>
      <c r="F29" s="12" t="s">
        <v>8</v>
      </c>
      <c r="G29" s="8" t="str">
        <f>IF(PRODUCT_DB[[#This Row],[Price]]&gt;=500,"High Price","Standard Price")</f>
        <v>Standard Price</v>
      </c>
      <c r="H29" s="12" t="str">
        <f>LEFT(PRODUCT_DB[[#This Row],[Product ID]],2)</f>
        <v>16</v>
      </c>
      <c r="I29" s="12" t="str">
        <f>RIGHT(PRODUCT_DB[[#This Row],[Product ID]],2)</f>
        <v>ES</v>
      </c>
      <c r="J29" s="12" t="str">
        <f>MID(PRODUCT_DB[[#This Row],[Product ID]],4,3)</f>
        <v>APR</v>
      </c>
    </row>
    <row r="30" spans="1:12" ht="15.75" customHeight="1" x14ac:dyDescent="0.2">
      <c r="A30" s="6" t="s">
        <v>78</v>
      </c>
      <c r="B30" s="7" t="s">
        <v>79</v>
      </c>
      <c r="C30" s="7" t="s">
        <v>80</v>
      </c>
      <c r="D30" s="7">
        <v>60</v>
      </c>
      <c r="E30" s="7">
        <v>30</v>
      </c>
      <c r="F30" s="7" t="s">
        <v>12</v>
      </c>
      <c r="G30" s="8" t="str">
        <f>IF(PRODUCT_DB[[#This Row],[Price]]&gt;=500,"High Price","Standard Price")</f>
        <v>Standard Price</v>
      </c>
      <c r="H30" s="12" t="str">
        <f>LEFT(PRODUCT_DB[[#This Row],[Product ID]],2)</f>
        <v>07</v>
      </c>
      <c r="I30" s="12" t="str">
        <f>RIGHT(PRODUCT_DB[[#This Row],[Product ID]],2)</f>
        <v>CA</v>
      </c>
      <c r="J30" s="12" t="str">
        <f>MID(PRODUCT_DB[[#This Row],[Product ID]],4,3)</f>
        <v>MAR</v>
      </c>
    </row>
    <row r="31" spans="1:12" ht="15.75" customHeight="1" x14ac:dyDescent="0.2">
      <c r="A31" s="11" t="s">
        <v>81</v>
      </c>
      <c r="B31" s="12" t="s">
        <v>82</v>
      </c>
      <c r="C31" s="12" t="s">
        <v>83</v>
      </c>
      <c r="D31" s="12">
        <v>40</v>
      </c>
      <c r="E31" s="12">
        <v>10</v>
      </c>
      <c r="F31" s="12" t="s">
        <v>16</v>
      </c>
      <c r="G31" s="8" t="str">
        <f>IF(PRODUCT_DB[[#This Row],[Price]]&gt;=500,"High Price","Standard Price")</f>
        <v>Standard Price</v>
      </c>
      <c r="H31" s="12" t="str">
        <f>LEFT(PRODUCT_DB[[#This Row],[Product ID]],2)</f>
        <v>13</v>
      </c>
      <c r="I31" s="12" t="str">
        <f>RIGHT(PRODUCT_DB[[#This Row],[Product ID]],2)</f>
        <v>CA</v>
      </c>
      <c r="J31" s="12" t="str">
        <f>MID(PRODUCT_DB[[#This Row],[Product ID]],4,3)</f>
        <v>APR</v>
      </c>
    </row>
    <row r="32" spans="1:12" ht="15.75" customHeight="1" x14ac:dyDescent="0.2">
      <c r="A32" s="6" t="s">
        <v>84</v>
      </c>
      <c r="B32" s="7" t="s">
        <v>70</v>
      </c>
      <c r="C32" s="7" t="s">
        <v>85</v>
      </c>
      <c r="D32" s="7">
        <v>130</v>
      </c>
      <c r="E32" s="7">
        <v>5</v>
      </c>
      <c r="F32" s="7" t="s">
        <v>8</v>
      </c>
      <c r="G32" s="8" t="str">
        <f>IF(PRODUCT_DB[[#This Row],[Price]]&gt;=500,"High Price","Standard Price")</f>
        <v>Standard Price</v>
      </c>
      <c r="H32" s="12" t="str">
        <f>LEFT(PRODUCT_DB[[#This Row],[Product ID]],2)</f>
        <v>24</v>
      </c>
      <c r="I32" s="12" t="str">
        <f>RIGHT(PRODUCT_DB[[#This Row],[Product ID]],2)</f>
        <v>CA</v>
      </c>
      <c r="J32" s="12" t="str">
        <f>MID(PRODUCT_DB[[#This Row],[Product ID]],4,3)</f>
        <v>MAY</v>
      </c>
    </row>
    <row r="33" spans="1:10" ht="15.75" customHeight="1" x14ac:dyDescent="0.2">
      <c r="A33" s="11" t="s">
        <v>86</v>
      </c>
      <c r="B33" s="12" t="s">
        <v>87</v>
      </c>
      <c r="C33" s="12" t="s">
        <v>88</v>
      </c>
      <c r="D33" s="12">
        <v>50</v>
      </c>
      <c r="E33" s="12">
        <v>50</v>
      </c>
      <c r="F33" s="12" t="s">
        <v>12</v>
      </c>
      <c r="G33" s="8" t="str">
        <f>IF(PRODUCT_DB[[#This Row],[Price]]&gt;=500,"High Price","Standard Price")</f>
        <v>Standard Price</v>
      </c>
      <c r="H33" s="12" t="str">
        <f>LEFT(PRODUCT_DB[[#This Row],[Product ID]],2)</f>
        <v>02</v>
      </c>
      <c r="I33" s="12" t="str">
        <f>RIGHT(PRODUCT_DB[[#This Row],[Product ID]],2)</f>
        <v>CA</v>
      </c>
      <c r="J33" s="12" t="str">
        <f>MID(PRODUCT_DB[[#This Row],[Product ID]],4,3)</f>
        <v>DEC</v>
      </c>
    </row>
    <row r="34" spans="1:10" ht="15.75" customHeight="1" x14ac:dyDescent="0.2">
      <c r="A34" s="6" t="s">
        <v>39</v>
      </c>
      <c r="B34" s="7" t="s">
        <v>6</v>
      </c>
      <c r="C34" s="7" t="s">
        <v>40</v>
      </c>
      <c r="D34" s="7">
        <v>950</v>
      </c>
      <c r="E34" s="7">
        <v>25</v>
      </c>
      <c r="F34" s="7" t="s">
        <v>8</v>
      </c>
      <c r="G34" s="8" t="str">
        <f>IF(PRODUCT_DB[[#This Row],[Price]]&gt;=500,"High Price","Standard Price")</f>
        <v>High Price</v>
      </c>
      <c r="H34" s="12" t="str">
        <f>LEFT(PRODUCT_DB[[#This Row],[Product ID]],2)</f>
        <v>17</v>
      </c>
      <c r="I34" s="12" t="str">
        <f>RIGHT(PRODUCT_DB[[#This Row],[Product ID]],2)</f>
        <v>IN</v>
      </c>
      <c r="J34" s="12" t="str">
        <f>MID(PRODUCT_DB[[#This Row],[Product ID]],4,3)</f>
        <v>JUN</v>
      </c>
    </row>
    <row r="35" spans="1:10" ht="15.75" customHeight="1" x14ac:dyDescent="0.2">
      <c r="A35" s="13" t="s">
        <v>89</v>
      </c>
      <c r="B35" s="14" t="s">
        <v>90</v>
      </c>
      <c r="C35" s="14" t="s">
        <v>91</v>
      </c>
      <c r="D35" s="14">
        <v>100</v>
      </c>
      <c r="E35" s="14">
        <v>20</v>
      </c>
      <c r="F35" s="14" t="s">
        <v>52</v>
      </c>
      <c r="G35" s="15" t="str">
        <f>IF(PRODUCT_DB[[#This Row],[Price]]&gt;=500,"High Price","Standard Price")</f>
        <v>Standard Price</v>
      </c>
      <c r="H35" s="14" t="str">
        <f>LEFT(PRODUCT_DB[[#This Row],[Product ID]],2)</f>
        <v>09</v>
      </c>
      <c r="I35" s="14" t="str">
        <f>RIGHT(PRODUCT_DB[[#This Row],[Product ID]],2)</f>
        <v>FR</v>
      </c>
      <c r="J35" s="14" t="str">
        <f>MID(PRODUCT_DB[[#This Row],[Product ID]],4,3)</f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4" type="noConversion"/>
  <conditionalFormatting sqref="D1:D1048576">
    <cfRule type="cellIs" dxfId="21" priority="4" operator="equal">
      <formula>30</formula>
    </cfRule>
    <cfRule type="cellIs" dxfId="20" priority="5" operator="equal">
      <formula>30</formula>
    </cfRule>
  </conditionalFormatting>
  <conditionalFormatting sqref="K1:K1048576">
    <cfRule type="cellIs" dxfId="19" priority="3" operator="equal">
      <formula>"TEXT"</formula>
    </cfRule>
  </conditionalFormatting>
  <conditionalFormatting sqref="L1:L17">
    <cfRule type="expression" dxfId="17" priority="2">
      <formula>$L$5</formula>
    </cfRule>
  </conditionalFormatting>
  <conditionalFormatting sqref="L1:L1048576">
    <cfRule type="cellIs" dxfId="1" priority="1" operator="greater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</cp:lastModifiedBy>
  <dcterms:modified xsi:type="dcterms:W3CDTF">2026-06-05T05:21:24Z</dcterms:modified>
</cp:coreProperties>
</file>